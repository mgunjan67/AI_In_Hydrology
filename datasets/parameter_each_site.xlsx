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AT Result\Result output\"/>
    </mc:Choice>
  </mc:AlternateContent>
  <xr:revisionPtr revIDLastSave="0" documentId="13_ncr:1_{F75C864D-5FC7-43F7-A122-476C149B3557}" xr6:coauthVersionLast="36" xr6:coauthVersionMax="36" xr10:uidLastSave="{00000000-0000-0000-0000-000000000000}"/>
  <bookViews>
    <workbookView xWindow="0" yWindow="0" windowWidth="28800" windowHeight="12225" tabRatio="727" xr2:uid="{1BA41D73-383E-4360-9828-72A37A054DC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" l="1"/>
  <c r="S12" i="1" l="1"/>
  <c r="S16" i="1"/>
  <c r="S14" i="1"/>
  <c r="S15" i="1"/>
  <c r="S13" i="1"/>
  <c r="S3" i="1"/>
  <c r="Q16" i="1"/>
  <c r="Q3" i="1"/>
  <c r="Q12" i="1"/>
  <c r="Q14" i="1"/>
  <c r="Q15" i="1"/>
  <c r="Q13" i="1"/>
  <c r="P3" i="1"/>
  <c r="P12" i="1"/>
  <c r="P14" i="1"/>
  <c r="P16" i="1"/>
  <c r="P15" i="1"/>
  <c r="P13" i="1"/>
  <c r="O12" i="1"/>
  <c r="O16" i="1"/>
  <c r="O14" i="1"/>
  <c r="O15" i="1"/>
  <c r="O13" i="1"/>
  <c r="O3" i="1"/>
  <c r="M3" i="1"/>
  <c r="M12" i="1"/>
  <c r="M14" i="1"/>
  <c r="M16" i="1"/>
  <c r="M15" i="1"/>
  <c r="M13" i="1"/>
  <c r="K12" i="1"/>
  <c r="K16" i="1"/>
  <c r="K15" i="1"/>
  <c r="I15" i="1"/>
  <c r="K14" i="1"/>
  <c r="K13" i="1"/>
  <c r="I12" i="1"/>
  <c r="I16" i="1"/>
  <c r="I14" i="1"/>
  <c r="I13" i="1"/>
</calcChain>
</file>

<file path=xl/sharedStrings.xml><?xml version="1.0" encoding="utf-8"?>
<sst xmlns="http://schemas.openxmlformats.org/spreadsheetml/2006/main" count="112" uniqueCount="68">
  <si>
    <t>CN2</t>
  </si>
  <si>
    <t>PLAPS</t>
  </si>
  <si>
    <t>TLAPS</t>
  </si>
  <si>
    <t>SFTMP</t>
  </si>
  <si>
    <t>SMTMP</t>
  </si>
  <si>
    <t>SMFMX</t>
  </si>
  <si>
    <t>SMFMN</t>
  </si>
  <si>
    <t>TIMP</t>
  </si>
  <si>
    <t>SURLAG</t>
  </si>
  <si>
    <t>SOL_ALB</t>
  </si>
  <si>
    <t>SOL_Z</t>
  </si>
  <si>
    <t>SOL_AWC</t>
  </si>
  <si>
    <t>SOL_BD</t>
  </si>
  <si>
    <t>SOL_K</t>
  </si>
  <si>
    <t>CANMX</t>
  </si>
  <si>
    <t>ESCO</t>
  </si>
  <si>
    <t>EPCO</t>
  </si>
  <si>
    <t>LAT_TIME</t>
  </si>
  <si>
    <t>OV_N</t>
  </si>
  <si>
    <t>ALPHA_BNK</t>
  </si>
  <si>
    <t>CH_N2</t>
  </si>
  <si>
    <t>CH_K2</t>
  </si>
  <si>
    <t>SHALLST</t>
  </si>
  <si>
    <t>REVAPMN</t>
  </si>
  <si>
    <t>GWQMN</t>
  </si>
  <si>
    <t>GW_DELAY</t>
  </si>
  <si>
    <t>ALPHA_BF</t>
  </si>
  <si>
    <t>RCHRG_DP</t>
  </si>
  <si>
    <t>Parameter Name</t>
  </si>
  <si>
    <t xml:space="preserve">Suggested Range </t>
  </si>
  <si>
    <t xml:space="preserve">Kaligandaki </t>
  </si>
  <si>
    <t>Marshyangdi</t>
  </si>
  <si>
    <t xml:space="preserve">Trishuli </t>
  </si>
  <si>
    <t xml:space="preserve">Narayani </t>
  </si>
  <si>
    <t>Q404.7</t>
  </si>
  <si>
    <t>Q419.1</t>
  </si>
  <si>
    <t>Q420</t>
  </si>
  <si>
    <t>Q430.5</t>
  </si>
  <si>
    <t>Q439.7</t>
  </si>
  <si>
    <t>Q445</t>
  </si>
  <si>
    <t>Q447</t>
  </si>
  <si>
    <t>Q448</t>
  </si>
  <si>
    <t>Q449.91</t>
  </si>
  <si>
    <t>Q450</t>
  </si>
  <si>
    <t>GW_REVAP</t>
  </si>
  <si>
    <t>-</t>
  </si>
  <si>
    <t>35 - 98</t>
  </si>
  <si>
    <t xml:space="preserve">-1000 - 1000 </t>
  </si>
  <si>
    <t>-10 - 10</t>
  </si>
  <si>
    <t>-20 - 20</t>
  </si>
  <si>
    <t>0 - 20</t>
  </si>
  <si>
    <t>0 - 1</t>
  </si>
  <si>
    <t>0.05 - 24</t>
  </si>
  <si>
    <t>0 - 0.25</t>
  </si>
  <si>
    <t>0 - 3500</t>
  </si>
  <si>
    <t>0.9 - 2.5</t>
  </si>
  <si>
    <t>0 - 2000</t>
  </si>
  <si>
    <t>0 - 100</t>
  </si>
  <si>
    <t>0 - 180</t>
  </si>
  <si>
    <t>0.01 - 1</t>
  </si>
  <si>
    <t>-0.01 - 0.3</t>
  </si>
  <si>
    <t>-0.01 - 500</t>
  </si>
  <si>
    <t>0 - 50000</t>
  </si>
  <si>
    <t>0 - 500</t>
  </si>
  <si>
    <t>0.02 - 0.2</t>
  </si>
  <si>
    <t>0 - 5000</t>
  </si>
  <si>
    <t xml:space="preserve">Seti Gandaki </t>
  </si>
  <si>
    <t xml:space="preserve">Budhigandaki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</si>
</sst>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w Cen 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 applyFill="1"/>
    <xf numFmtId="0" fontId="0" fillId="0" borderId="0" xfId="0" applyFill="1" applyBorder="1"/>
    <xf numFmtId="2" fontId="0" fillId="0" borderId="0" xfId="0" applyNumberFormat="1" applyFill="1" applyBorder="1"/>
    <xf numFmtId="2" fontId="0" fillId="0" borderId="0" xfId="0" quotePrefix="1" applyNumberFormat="1" applyFill="1" applyBorder="1" applyAlignment="1">
      <alignment horizontal="center"/>
    </xf>
    <xf numFmtId="164" fontId="0" fillId="0" borderId="0" xfId="0" applyNumberFormat="1" applyFill="1" applyBorder="1"/>
    <xf numFmtId="0" fontId="0" fillId="0" borderId="1" xfId="0" applyFill="1" applyBorder="1"/>
    <xf numFmtId="2" fontId="0" fillId="0" borderId="1" xfId="0" applyNumberFormat="1" applyFill="1" applyBorder="1"/>
    <xf numFmtId="0" fontId="1" fillId="0" borderId="0" xfId="0" applyFont="1" applyFill="1" applyBorder="1" applyAlignment="1">
      <alignment wrapText="1"/>
    </xf>
    <xf numFmtId="0" fontId="1" fillId="0" borderId="0" xfId="0" quotePrefix="1" applyFont="1" applyFill="1" applyBorder="1"/>
    <xf numFmtId="0" fontId="1" fillId="0" borderId="0" xfId="0" quotePrefix="1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1" xfId="0" applyFill="1" applyBorder="1"/>
    <xf numFmtId="1" fontId="0" fillId="0" borderId="0" xfId="0" applyNumberFormat="1" applyFill="1" applyBorder="1"/>
    <xf numFmtId="165" fontId="0" fillId="0" borderId="0" xfId="0" applyNumberFormat="1" applyFill="1" applyBorder="1"/>
    <xf numFmtId="0" fontId="1" fillId="3" borderId="0" xfId="0" applyFont="1" applyFill="1" applyBorder="1" applyAlignment="1">
      <alignment wrapText="1"/>
    </xf>
    <xf numFmtId="0" fontId="0" fillId="3" borderId="0" xfId="0" applyFill="1" applyBorder="1"/>
    <xf numFmtId="2" fontId="0" fillId="3" borderId="0" xfId="0" applyNumberFormat="1" applyFill="1" applyBorder="1"/>
    <xf numFmtId="0" fontId="0" fillId="3" borderId="0" xfId="0" applyFill="1"/>
    <xf numFmtId="0" fontId="1" fillId="4" borderId="0" xfId="0" applyFont="1" applyFill="1" applyBorder="1" applyAlignment="1">
      <alignment wrapText="1"/>
    </xf>
    <xf numFmtId="0" fontId="0" fillId="4" borderId="0" xfId="0" applyFill="1" applyBorder="1"/>
    <xf numFmtId="2" fontId="0" fillId="4" borderId="0" xfId="0" applyNumberFormat="1" applyFill="1" applyBorder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7427-6F99-463A-9A20-6C61FAB992AB}">
  <dimension ref="B1:V31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4" sqref="O4"/>
    </sheetView>
  </sheetViews>
  <sheetFormatPr defaultRowHeight="15" x14ac:dyDescent="0.25"/>
  <cols>
    <col min="1" max="1" width="3" customWidth="1"/>
    <col min="2" max="2" width="12.85546875" customWidth="1"/>
    <col min="3" max="3" width="14.42578125" customWidth="1"/>
    <col min="4" max="4" width="0.7109375" customWidth="1"/>
    <col min="5" max="7" width="6.85546875" customWidth="1"/>
    <col min="8" max="8" width="0.7109375" customWidth="1"/>
    <col min="9" max="9" width="11.5703125" customWidth="1"/>
    <col min="10" max="10" width="0.7109375" customWidth="1"/>
    <col min="11" max="11" width="11.85546875" customWidth="1"/>
    <col min="12" max="12" width="0.7109375" customWidth="1"/>
    <col min="13" max="13" width="12.42578125" customWidth="1"/>
    <col min="14" max="14" width="0.7109375" customWidth="1"/>
    <col min="15" max="17" width="8.140625" customWidth="1"/>
    <col min="18" max="18" width="0.7109375" customWidth="1"/>
    <col min="19" max="19" width="9.42578125" customWidth="1"/>
  </cols>
  <sheetData>
    <row r="1" spans="2:19" x14ac:dyDescent="0.25">
      <c r="B1" s="26" t="s">
        <v>28</v>
      </c>
      <c r="C1" s="28" t="s">
        <v>29</v>
      </c>
      <c r="D1" s="12"/>
      <c r="E1" s="25" t="s">
        <v>30</v>
      </c>
      <c r="F1" s="25"/>
      <c r="G1" s="25"/>
      <c r="H1" s="13"/>
      <c r="I1" s="14" t="s">
        <v>66</v>
      </c>
      <c r="J1" s="12"/>
      <c r="K1" s="14" t="s">
        <v>31</v>
      </c>
      <c r="L1" s="12"/>
      <c r="M1" s="14" t="s">
        <v>67</v>
      </c>
      <c r="N1" s="12"/>
      <c r="O1" s="25" t="s">
        <v>32</v>
      </c>
      <c r="P1" s="25"/>
      <c r="Q1" s="25"/>
      <c r="R1" s="13"/>
      <c r="S1" s="14" t="s">
        <v>33</v>
      </c>
    </row>
    <row r="2" spans="2:19" ht="15.75" customHeight="1" x14ac:dyDescent="0.25">
      <c r="B2" s="27"/>
      <c r="C2" s="29"/>
      <c r="D2" s="14"/>
      <c r="E2" s="14" t="s">
        <v>34</v>
      </c>
      <c r="F2" s="14" t="s">
        <v>35</v>
      </c>
      <c r="G2" s="14" t="s">
        <v>36</v>
      </c>
      <c r="H2" s="14"/>
      <c r="I2" s="14" t="s">
        <v>37</v>
      </c>
      <c r="J2" s="14"/>
      <c r="K2" s="14" t="s">
        <v>38</v>
      </c>
      <c r="L2" s="14"/>
      <c r="M2" s="14" t="s">
        <v>39</v>
      </c>
      <c r="N2" s="14"/>
      <c r="O2" s="14" t="s">
        <v>40</v>
      </c>
      <c r="P2" s="14" t="s">
        <v>41</v>
      </c>
      <c r="Q2" s="14" t="s">
        <v>42</v>
      </c>
      <c r="R2" s="14"/>
      <c r="S2" s="14" t="s">
        <v>43</v>
      </c>
    </row>
    <row r="3" spans="2:19" ht="15.75" x14ac:dyDescent="0.25">
      <c r="B3" s="8" t="s">
        <v>0</v>
      </c>
      <c r="C3" s="8" t="s">
        <v>46</v>
      </c>
      <c r="D3" s="2"/>
      <c r="E3" s="3">
        <v>0.13664499999999999</v>
      </c>
      <c r="F3" s="3">
        <v>0.09</v>
      </c>
      <c r="G3" s="3">
        <v>0.09</v>
      </c>
      <c r="H3" s="3"/>
      <c r="I3" s="3">
        <v>-0.18722700000000003</v>
      </c>
      <c r="J3" s="3"/>
      <c r="K3" s="3">
        <v>0.31574599999999986</v>
      </c>
      <c r="L3" s="3"/>
      <c r="M3" s="3">
        <f>63.667608/59-1</f>
        <v>7.9112000000000071E-2</v>
      </c>
      <c r="N3" s="3"/>
      <c r="O3" s="3">
        <f>93.474841171574/86-1</f>
        <v>8.6916757808999989E-2</v>
      </c>
      <c r="P3" s="3">
        <f>56.145875/59-1</f>
        <v>-4.8375000000000057E-2</v>
      </c>
      <c r="Q3" s="3">
        <f>66.6/60-1</f>
        <v>0.10999999999999988</v>
      </c>
      <c r="R3" s="3"/>
      <c r="S3" s="3">
        <f>48.76638/61-1</f>
        <v>-0.20055114754098369</v>
      </c>
    </row>
    <row r="4" spans="2:19" ht="15.75" x14ac:dyDescent="0.25">
      <c r="B4" s="8" t="s">
        <v>1</v>
      </c>
      <c r="C4" s="9" t="s">
        <v>47</v>
      </c>
      <c r="D4" s="2"/>
      <c r="E4" s="3">
        <v>35.587502000000001</v>
      </c>
      <c r="F4" s="3">
        <v>47.48</v>
      </c>
      <c r="G4" s="3">
        <v>47.48</v>
      </c>
      <c r="H4" s="3"/>
      <c r="I4" s="3">
        <v>-3.384827</v>
      </c>
      <c r="J4" s="3"/>
      <c r="K4" s="3">
        <v>109.132935</v>
      </c>
      <c r="L4" s="3"/>
      <c r="M4" s="3">
        <v>219.66670199999999</v>
      </c>
      <c r="N4" s="3"/>
      <c r="O4" s="3">
        <v>300</v>
      </c>
      <c r="P4" s="3">
        <v>16.274999999999999</v>
      </c>
      <c r="Q4" s="3">
        <v>38.200001</v>
      </c>
      <c r="R4" s="3"/>
      <c r="S4" s="3">
        <v>94.12</v>
      </c>
    </row>
    <row r="5" spans="2:19" ht="15.75" x14ac:dyDescent="0.25">
      <c r="B5" s="8" t="s">
        <v>2</v>
      </c>
      <c r="C5" s="10" t="s">
        <v>48</v>
      </c>
      <c r="D5" s="2"/>
      <c r="E5" s="3">
        <v>-5.6074999999999999</v>
      </c>
      <c r="F5" s="3">
        <v>-6.6139999999999999</v>
      </c>
      <c r="G5" s="3">
        <v>-6.6139999999999999</v>
      </c>
      <c r="H5" s="3"/>
      <c r="I5" s="3">
        <v>-5.4083399999999999</v>
      </c>
      <c r="J5" s="3"/>
      <c r="K5" s="3">
        <v>-3.1517469999999999</v>
      </c>
      <c r="L5" s="3"/>
      <c r="M5" s="3">
        <v>-7.2290400000000004</v>
      </c>
      <c r="N5" s="3"/>
      <c r="O5" s="3">
        <v>-6.6764580000000002</v>
      </c>
      <c r="P5" s="3">
        <f>AVERAGE(O5,Q5)</f>
        <v>-7.053229</v>
      </c>
      <c r="Q5" s="3">
        <v>-7.43</v>
      </c>
      <c r="R5" s="3"/>
      <c r="S5" s="3">
        <v>-0.88749999999999996</v>
      </c>
    </row>
    <row r="6" spans="2:19" ht="15.75" x14ac:dyDescent="0.25">
      <c r="B6" s="8" t="s">
        <v>3</v>
      </c>
      <c r="C6" s="10" t="s">
        <v>49</v>
      </c>
      <c r="D6" s="2"/>
      <c r="E6" s="4" t="s">
        <v>45</v>
      </c>
      <c r="F6" s="4" t="s">
        <v>45</v>
      </c>
      <c r="G6" s="3">
        <v>-5.2905620000000004</v>
      </c>
      <c r="H6" s="3"/>
      <c r="I6" s="4" t="s">
        <v>45</v>
      </c>
      <c r="J6" s="3"/>
      <c r="K6" s="3">
        <v>-5.2905620000000004</v>
      </c>
      <c r="L6" s="3"/>
      <c r="M6" s="3">
        <v>-5.2905620000000004</v>
      </c>
      <c r="N6" s="3"/>
      <c r="O6" s="3">
        <v>-5.2905620000000004</v>
      </c>
      <c r="P6" s="4" t="s">
        <v>45</v>
      </c>
      <c r="Q6" s="4" t="s">
        <v>45</v>
      </c>
      <c r="R6" s="3"/>
      <c r="S6" s="4" t="s">
        <v>45</v>
      </c>
    </row>
    <row r="7" spans="2:19" ht="15.75" x14ac:dyDescent="0.25">
      <c r="B7" s="8" t="s">
        <v>4</v>
      </c>
      <c r="C7" s="10" t="s">
        <v>49</v>
      </c>
      <c r="D7" s="2"/>
      <c r="E7" s="4" t="s">
        <v>45</v>
      </c>
      <c r="F7" s="4" t="s">
        <v>45</v>
      </c>
      <c r="G7" s="3">
        <v>-3.5252300000000001</v>
      </c>
      <c r="H7" s="3"/>
      <c r="I7" s="4" t="s">
        <v>45</v>
      </c>
      <c r="J7" s="3"/>
      <c r="K7" s="3">
        <v>-3.5252300000000001</v>
      </c>
      <c r="L7" s="3"/>
      <c r="M7" s="3">
        <v>-3.5252300000000001</v>
      </c>
      <c r="N7" s="3"/>
      <c r="O7" s="3">
        <v>-3.5252300000000001</v>
      </c>
      <c r="P7" s="4" t="s">
        <v>45</v>
      </c>
      <c r="Q7" s="4" t="s">
        <v>45</v>
      </c>
      <c r="R7" s="3"/>
      <c r="S7" s="4" t="s">
        <v>45</v>
      </c>
    </row>
    <row r="8" spans="2:19" ht="15.75" x14ac:dyDescent="0.25">
      <c r="B8" s="8" t="s">
        <v>5</v>
      </c>
      <c r="C8" s="8" t="s">
        <v>50</v>
      </c>
      <c r="D8" s="2"/>
      <c r="E8" s="4" t="s">
        <v>45</v>
      </c>
      <c r="F8" s="4" t="s">
        <v>45</v>
      </c>
      <c r="G8" s="3">
        <v>4.0405309999999997</v>
      </c>
      <c r="H8" s="3"/>
      <c r="I8" s="4" t="s">
        <v>45</v>
      </c>
      <c r="J8" s="3"/>
      <c r="K8" s="3">
        <v>4.0405309999999997</v>
      </c>
      <c r="L8" s="3"/>
      <c r="M8" s="3">
        <v>4.0405309999999997</v>
      </c>
      <c r="N8" s="3"/>
      <c r="O8" s="3">
        <v>4.0405309999999997</v>
      </c>
      <c r="P8" s="4" t="s">
        <v>45</v>
      </c>
      <c r="Q8" s="4" t="s">
        <v>45</v>
      </c>
      <c r="R8" s="3"/>
      <c r="S8" s="4" t="s">
        <v>45</v>
      </c>
    </row>
    <row r="9" spans="2:19" ht="15.75" x14ac:dyDescent="0.25">
      <c r="B9" s="8" t="s">
        <v>6</v>
      </c>
      <c r="C9" s="8" t="s">
        <v>50</v>
      </c>
      <c r="D9" s="2"/>
      <c r="E9" s="4" t="s">
        <v>45</v>
      </c>
      <c r="F9" s="4" t="s">
        <v>45</v>
      </c>
      <c r="G9" s="3">
        <v>4.9956680000000002</v>
      </c>
      <c r="H9" s="3"/>
      <c r="I9" s="4" t="s">
        <v>45</v>
      </c>
      <c r="J9" s="3"/>
      <c r="K9" s="3">
        <v>4.9956680000000002</v>
      </c>
      <c r="L9" s="3"/>
      <c r="M9" s="3">
        <v>4.9956680000000002</v>
      </c>
      <c r="N9" s="3"/>
      <c r="O9" s="3">
        <v>4.9956680000000002</v>
      </c>
      <c r="P9" s="4" t="s">
        <v>45</v>
      </c>
      <c r="Q9" s="4" t="s">
        <v>45</v>
      </c>
      <c r="R9" s="3"/>
      <c r="S9" s="4" t="s">
        <v>45</v>
      </c>
    </row>
    <row r="10" spans="2:19" ht="15.75" x14ac:dyDescent="0.25">
      <c r="B10" s="8" t="s">
        <v>7</v>
      </c>
      <c r="C10" s="8" t="s">
        <v>51</v>
      </c>
      <c r="D10" s="2"/>
      <c r="E10" s="4" t="s">
        <v>45</v>
      </c>
      <c r="F10" s="4" t="s">
        <v>45</v>
      </c>
      <c r="G10" s="3">
        <v>0.100382</v>
      </c>
      <c r="H10" s="3"/>
      <c r="I10" s="4" t="s">
        <v>45</v>
      </c>
      <c r="J10" s="3"/>
      <c r="K10" s="3">
        <v>0.100382</v>
      </c>
      <c r="L10" s="3"/>
      <c r="M10" s="3">
        <v>0.100382</v>
      </c>
      <c r="N10" s="3"/>
      <c r="O10" s="3">
        <v>0.100382</v>
      </c>
      <c r="P10" s="4" t="s">
        <v>45</v>
      </c>
      <c r="Q10" s="4" t="s">
        <v>45</v>
      </c>
      <c r="R10" s="3"/>
      <c r="S10" s="4" t="s">
        <v>45</v>
      </c>
    </row>
    <row r="11" spans="2:19" ht="15.75" x14ac:dyDescent="0.25">
      <c r="B11" s="8" t="s">
        <v>8</v>
      </c>
      <c r="C11" s="8" t="s">
        <v>52</v>
      </c>
      <c r="D11" s="2"/>
      <c r="E11" s="4" t="s">
        <v>45</v>
      </c>
      <c r="F11" s="4" t="s">
        <v>45</v>
      </c>
      <c r="G11" s="3">
        <v>2.6469499999999999</v>
      </c>
      <c r="H11" s="3"/>
      <c r="I11" s="4" t="s">
        <v>45</v>
      </c>
      <c r="J11" s="3"/>
      <c r="K11" s="3">
        <v>2.6469499999999999</v>
      </c>
      <c r="L11" s="3"/>
      <c r="M11" s="3">
        <v>2.6469499999999999</v>
      </c>
      <c r="N11" s="3"/>
      <c r="O11" s="3">
        <v>2.6469499999999999</v>
      </c>
      <c r="P11" s="4" t="s">
        <v>45</v>
      </c>
      <c r="Q11" s="4" t="s">
        <v>45</v>
      </c>
      <c r="R11" s="3"/>
      <c r="S11" s="4" t="s">
        <v>45</v>
      </c>
    </row>
    <row r="12" spans="2:19" s="24" customFormat="1" ht="15.75" x14ac:dyDescent="0.25">
      <c r="B12" s="21" t="s">
        <v>9</v>
      </c>
      <c r="C12" s="21" t="s">
        <v>53</v>
      </c>
      <c r="D12" s="22"/>
      <c r="E12" s="23">
        <v>9.9030000000000007E-2</v>
      </c>
      <c r="F12" s="23">
        <v>-6.1499999999999999E-2</v>
      </c>
      <c r="G12" s="23">
        <v>-6.1499999999999999E-2</v>
      </c>
      <c r="H12" s="23"/>
      <c r="I12" s="23">
        <f>0.0021115/0.002-1</f>
        <v>5.5749999999999966E-2</v>
      </c>
      <c r="J12" s="23"/>
      <c r="K12" s="23">
        <f>0.001796722/0.002-1</f>
        <v>-0.10163900000000003</v>
      </c>
      <c r="L12" s="23"/>
      <c r="M12" s="23">
        <f>0.00196109/0.002-1</f>
        <v>-1.9455E-2</v>
      </c>
      <c r="N12" s="23"/>
      <c r="O12" s="23">
        <f>0.00244455308/0.002-1</f>
        <v>0.22227653999999997</v>
      </c>
      <c r="P12" s="23">
        <f>0.000108445/0.0001-1</f>
        <v>8.4449999999999914E-2</v>
      </c>
      <c r="Q12" s="23">
        <f>0.002057/0.002-1</f>
        <v>2.849999999999997E-2</v>
      </c>
      <c r="R12" s="23"/>
      <c r="S12" s="23">
        <f>0.009427/0.01-1</f>
        <v>-5.7300000000000018E-2</v>
      </c>
    </row>
    <row r="13" spans="2:19" s="24" customFormat="1" ht="15.75" x14ac:dyDescent="0.25">
      <c r="B13" s="21" t="s">
        <v>10</v>
      </c>
      <c r="C13" s="21" t="s">
        <v>54</v>
      </c>
      <c r="D13" s="22"/>
      <c r="E13" s="23">
        <v>-6.4799999999999996E-2</v>
      </c>
      <c r="F13" s="23">
        <v>-2.970000000000006E-2</v>
      </c>
      <c r="G13" s="23">
        <v>-2.970000000000006E-2</v>
      </c>
      <c r="H13" s="23"/>
      <c r="I13" s="23">
        <f>275.952/300-1</f>
        <v>-8.0160000000000009E-2</v>
      </c>
      <c r="J13" s="23"/>
      <c r="K13" s="23">
        <f>276.7935/300-1</f>
        <v>-7.7355000000000063E-2</v>
      </c>
      <c r="L13" s="23"/>
      <c r="M13" s="23">
        <f>953/1000-1</f>
        <v>-4.7000000000000042E-2</v>
      </c>
      <c r="N13" s="23"/>
      <c r="O13" s="23">
        <f>247.09914198/300-1</f>
        <v>-0.17633619339999995</v>
      </c>
      <c r="P13" s="23">
        <f>287.985/300-1</f>
        <v>-4.0049999999999919E-2</v>
      </c>
      <c r="Q13" s="23">
        <f>277.05/300-1</f>
        <v>-7.6500000000000012E-2</v>
      </c>
      <c r="R13" s="23"/>
      <c r="S13" s="23">
        <f>311.43/300-1</f>
        <v>3.8100000000000023E-2</v>
      </c>
    </row>
    <row r="14" spans="2:19" s="24" customFormat="1" ht="15.75" x14ac:dyDescent="0.25">
      <c r="B14" s="21" t="s">
        <v>11</v>
      </c>
      <c r="C14" s="21" t="s">
        <v>51</v>
      </c>
      <c r="D14" s="22"/>
      <c r="E14" s="23">
        <v>-0.15151700000000001</v>
      </c>
      <c r="F14" s="23">
        <v>-9.4500000000000028E-2</v>
      </c>
      <c r="G14" s="23">
        <v>-9.4500000000000028E-2</v>
      </c>
      <c r="H14" s="23"/>
      <c r="I14" s="23">
        <f>0.428023/0.5-1</f>
        <v>-0.14395400000000003</v>
      </c>
      <c r="J14" s="23"/>
      <c r="K14" s="23">
        <f>0.4470345/0.5</f>
        <v>0.894069</v>
      </c>
      <c r="L14" s="23"/>
      <c r="M14" s="23">
        <f>0.5219135/0.5-1</f>
        <v>4.382700000000006E-2</v>
      </c>
      <c r="N14" s="23"/>
      <c r="O14" s="23">
        <f>0.4633605567/0.5-1</f>
        <v>-7.3278886600000037E-2</v>
      </c>
      <c r="P14" s="23">
        <f>0.17779655/0.167-1</f>
        <v>6.4649999999999874E-2</v>
      </c>
      <c r="Q14" s="23">
        <f>1.02851/0.98-1</f>
        <v>4.9500000000000099E-2</v>
      </c>
      <c r="R14" s="23"/>
      <c r="S14" s="23">
        <f>0.46175/0.5-1</f>
        <v>-7.6500000000000012E-2</v>
      </c>
    </row>
    <row r="15" spans="2:19" s="24" customFormat="1" ht="15.75" x14ac:dyDescent="0.25">
      <c r="B15" s="21" t="s">
        <v>12</v>
      </c>
      <c r="C15" s="21" t="s">
        <v>55</v>
      </c>
      <c r="D15" s="22"/>
      <c r="E15" s="23">
        <v>2.7074999999999998E-2</v>
      </c>
      <c r="F15" s="23">
        <v>-8.1900000000000084E-2</v>
      </c>
      <c r="G15" s="23">
        <v>-8.1900000000000084E-2</v>
      </c>
      <c r="H15" s="23"/>
      <c r="I15" s="23">
        <f>1.1959818/1.3-1</f>
        <v>-8.001400000000003E-2</v>
      </c>
      <c r="J15" s="23"/>
      <c r="K15" s="23">
        <f>1.4353456/1.3-1</f>
        <v>0.10411199999999998</v>
      </c>
      <c r="L15" s="23"/>
      <c r="M15" s="23">
        <f>1.3665834/1.3-1</f>
        <v>5.1217999999999986E-2</v>
      </c>
      <c r="N15" s="23"/>
      <c r="O15" s="23">
        <f>1.31752670088/1.3-1</f>
        <v>1.3482077599999975E-2</v>
      </c>
      <c r="P15" s="23">
        <f>1.2415625/1.37-1</f>
        <v>-9.3750000000000111E-2</v>
      </c>
      <c r="Q15" s="23">
        <f>1.446295/1.39-1</f>
        <v>4.0500000000000203E-2</v>
      </c>
      <c r="R15" s="23"/>
      <c r="S15" s="23">
        <f>1.354442/1.46-1</f>
        <v>-7.2300000000000031E-2</v>
      </c>
    </row>
    <row r="16" spans="2:19" s="24" customFormat="1" ht="15.75" x14ac:dyDescent="0.25">
      <c r="B16" s="21" t="s">
        <v>13</v>
      </c>
      <c r="C16" s="21" t="s">
        <v>56</v>
      </c>
      <c r="D16" s="22"/>
      <c r="E16" s="23">
        <v>9.9919999999999995E-2</v>
      </c>
      <c r="F16" s="23">
        <v>7.1599999999999886E-2</v>
      </c>
      <c r="G16" s="23">
        <v>7.1599999999999886E-2</v>
      </c>
      <c r="H16" s="23"/>
      <c r="I16" s="23">
        <f>33.547068/36-1</f>
        <v>-6.8136999999999892E-2</v>
      </c>
      <c r="J16" s="23"/>
      <c r="K16" s="23">
        <f>31.366332/36-1</f>
        <v>-0.12871299999999997</v>
      </c>
      <c r="L16" s="23"/>
      <c r="M16" s="23">
        <f>45.812844/36-1</f>
        <v>0.2725789999999999</v>
      </c>
      <c r="N16" s="23"/>
      <c r="O16" s="23">
        <f>34.1600530824/36-1</f>
        <v>-5.1109636600000119E-2</v>
      </c>
      <c r="P16" s="23">
        <f>31.3704/36-1</f>
        <v>-0.12860000000000005</v>
      </c>
      <c r="Q16" s="23">
        <f>37.656/36-1</f>
        <v>4.6000000000000041E-2</v>
      </c>
      <c r="R16" s="23"/>
      <c r="S16" s="23">
        <f>29.1312/36-1</f>
        <v>-0.19079999999999997</v>
      </c>
    </row>
    <row r="17" spans="2:22" s="24" customFormat="1" ht="15.75" x14ac:dyDescent="0.25">
      <c r="B17" s="21" t="s">
        <v>14</v>
      </c>
      <c r="C17" s="21" t="s">
        <v>57</v>
      </c>
      <c r="D17" s="22"/>
      <c r="E17" s="23">
        <v>49.072498000000003</v>
      </c>
      <c r="F17" s="23">
        <v>24.5</v>
      </c>
      <c r="G17" s="23">
        <v>24.5</v>
      </c>
      <c r="H17" s="23"/>
      <c r="I17" s="23">
        <v>12.57</v>
      </c>
      <c r="J17" s="23"/>
      <c r="K17" s="23">
        <v>30.050888</v>
      </c>
      <c r="L17" s="23"/>
      <c r="M17" s="23">
        <v>82.837631000000002</v>
      </c>
      <c r="N17" s="23"/>
      <c r="O17" s="23">
        <v>58.395381999999998</v>
      </c>
      <c r="P17" s="23">
        <v>25.274999999999999</v>
      </c>
      <c r="Q17" s="23">
        <v>34.5</v>
      </c>
      <c r="R17" s="23"/>
      <c r="S17" s="23">
        <v>80.5</v>
      </c>
    </row>
    <row r="18" spans="2:22" s="20" customFormat="1" ht="15.75" x14ac:dyDescent="0.25">
      <c r="B18" s="17" t="s">
        <v>15</v>
      </c>
      <c r="C18" s="17" t="s">
        <v>51</v>
      </c>
      <c r="D18" s="18"/>
      <c r="E18" s="19">
        <v>0.54545999999999994</v>
      </c>
      <c r="F18" s="19">
        <v>2.9000000000000001E-2</v>
      </c>
      <c r="G18" s="19">
        <v>2.9000000000000001E-2</v>
      </c>
      <c r="H18" s="19"/>
      <c r="I18" s="19">
        <v>0.78747100000000003</v>
      </c>
      <c r="J18" s="19"/>
      <c r="K18" s="19">
        <v>0.98985400000000001</v>
      </c>
      <c r="L18" s="19"/>
      <c r="M18" s="19">
        <v>0.47565299999999999</v>
      </c>
      <c r="N18" s="19"/>
      <c r="O18" s="19">
        <v>0.509432</v>
      </c>
      <c r="P18" s="19">
        <v>5.0099999999999999E-2</v>
      </c>
      <c r="Q18" s="19">
        <v>0.375</v>
      </c>
      <c r="R18" s="19"/>
      <c r="S18" s="19">
        <v>0.375</v>
      </c>
    </row>
    <row r="19" spans="2:22" s="20" customFormat="1" ht="15.75" x14ac:dyDescent="0.25">
      <c r="B19" s="17" t="s">
        <v>16</v>
      </c>
      <c r="C19" s="17" t="s">
        <v>51</v>
      </c>
      <c r="D19" s="18"/>
      <c r="E19" s="19">
        <v>0.76554999999999995</v>
      </c>
      <c r="F19" s="19">
        <v>0.38700000000000001</v>
      </c>
      <c r="G19" s="19">
        <v>0.38700000000000001</v>
      </c>
      <c r="H19" s="19"/>
      <c r="I19" s="19">
        <v>0.50881500000000002</v>
      </c>
      <c r="J19" s="19"/>
      <c r="K19" s="19">
        <v>0.23234099999999999</v>
      </c>
      <c r="L19" s="19"/>
      <c r="M19" s="19">
        <v>0.80787299999999995</v>
      </c>
      <c r="N19" s="19"/>
      <c r="O19" s="19">
        <v>0.65779500000000002</v>
      </c>
      <c r="P19" s="19">
        <v>0.59160000000000001</v>
      </c>
      <c r="Q19" s="19">
        <v>0.54500000000000004</v>
      </c>
      <c r="R19" s="19"/>
      <c r="S19" s="19">
        <v>0.54500000000000004</v>
      </c>
    </row>
    <row r="20" spans="2:22" s="20" customFormat="1" ht="15.75" x14ac:dyDescent="0.25">
      <c r="B20" s="17" t="s">
        <v>17</v>
      </c>
      <c r="C20" s="17" t="s">
        <v>58</v>
      </c>
      <c r="D20" s="18"/>
      <c r="E20" s="19">
        <v>40.137501</v>
      </c>
      <c r="F20" s="19">
        <v>17.29</v>
      </c>
      <c r="G20" s="19">
        <v>17.29</v>
      </c>
      <c r="H20" s="19"/>
      <c r="I20" s="19">
        <v>76.408905000000004</v>
      </c>
      <c r="J20" s="19"/>
      <c r="K20" s="19">
        <v>14.639206</v>
      </c>
      <c r="L20" s="19"/>
      <c r="M20" s="19">
        <v>17.482334000000002</v>
      </c>
      <c r="N20" s="19"/>
      <c r="O20" s="19">
        <v>17.262702999999998</v>
      </c>
      <c r="P20" s="19">
        <v>14.49</v>
      </c>
      <c r="Q20" s="19">
        <v>23.049999</v>
      </c>
      <c r="R20" s="19"/>
      <c r="S20" s="19">
        <v>27</v>
      </c>
    </row>
    <row r="21" spans="2:22" s="20" customFormat="1" ht="15.75" x14ac:dyDescent="0.25">
      <c r="B21" s="17" t="s">
        <v>18</v>
      </c>
      <c r="C21" s="17" t="s">
        <v>59</v>
      </c>
      <c r="D21" s="18"/>
      <c r="E21" s="19">
        <v>0.15764900000000001</v>
      </c>
      <c r="F21" s="19">
        <v>0.38779000000000002</v>
      </c>
      <c r="G21" s="19">
        <v>0.38779000000000002</v>
      </c>
      <c r="H21" s="19"/>
      <c r="I21" s="19">
        <v>0.72395299999999996</v>
      </c>
      <c r="J21" s="19"/>
      <c r="K21" s="19">
        <v>0.35899999999999999</v>
      </c>
      <c r="L21" s="19"/>
      <c r="M21" s="19">
        <v>7.8210000000000002E-2</v>
      </c>
      <c r="N21" s="19"/>
      <c r="O21" s="19">
        <v>5.1277999999999997E-2</v>
      </c>
      <c r="P21" s="19">
        <v>0.118535</v>
      </c>
      <c r="Q21" s="19">
        <v>0.11534999999999999</v>
      </c>
      <c r="R21" s="19"/>
      <c r="S21" s="19">
        <v>8.0070000000000002E-2</v>
      </c>
    </row>
    <row r="22" spans="2:22" ht="15.75" x14ac:dyDescent="0.25">
      <c r="B22" s="8" t="s">
        <v>19</v>
      </c>
      <c r="C22" s="8" t="s">
        <v>51</v>
      </c>
      <c r="D22" s="2"/>
      <c r="E22" s="3">
        <v>0.98035499999999998</v>
      </c>
      <c r="F22" s="3">
        <v>0.69210000000000005</v>
      </c>
      <c r="G22" s="3">
        <v>0.69210000000000005</v>
      </c>
      <c r="H22" s="3"/>
      <c r="I22" s="3">
        <v>0.18975900000000001</v>
      </c>
      <c r="J22" s="3"/>
      <c r="K22" s="3">
        <v>0.71054099999999998</v>
      </c>
      <c r="L22" s="3"/>
      <c r="M22" s="3">
        <v>0.20328599999999999</v>
      </c>
      <c r="N22" s="3"/>
      <c r="O22" s="3">
        <v>5.0946999999999999E-2</v>
      </c>
      <c r="P22" s="3">
        <v>0.87644999999999995</v>
      </c>
      <c r="Q22" s="3">
        <v>0.1575</v>
      </c>
      <c r="R22" s="3"/>
      <c r="S22" s="3">
        <v>0.86850000000000005</v>
      </c>
    </row>
    <row r="23" spans="2:22" ht="15.75" x14ac:dyDescent="0.25">
      <c r="B23" s="8" t="s">
        <v>20</v>
      </c>
      <c r="C23" s="10" t="s">
        <v>60</v>
      </c>
      <c r="D23" s="2"/>
      <c r="E23" s="3">
        <v>0.13164000000000001</v>
      </c>
      <c r="F23" s="3">
        <v>2.0643999999999999E-2</v>
      </c>
      <c r="G23" s="3">
        <v>2.0643999999999999E-2</v>
      </c>
      <c r="H23" s="3"/>
      <c r="I23" s="3">
        <v>8.5300000000000001E-2</v>
      </c>
      <c r="J23" s="3"/>
      <c r="K23" s="3">
        <v>0.126137</v>
      </c>
      <c r="L23" s="3"/>
      <c r="M23" s="3">
        <v>0.22857</v>
      </c>
      <c r="N23" s="3"/>
      <c r="O23" s="3">
        <v>7.0000000000000007E-2</v>
      </c>
      <c r="P23" s="3">
        <v>0.14402599999999999</v>
      </c>
      <c r="Q23" s="3">
        <v>3.508E-2</v>
      </c>
      <c r="R23" s="3"/>
      <c r="S23" s="3">
        <v>9.2743999999999993E-2</v>
      </c>
    </row>
    <row r="24" spans="2:22" ht="15.75" x14ac:dyDescent="0.25">
      <c r="B24" s="8" t="s">
        <v>21</v>
      </c>
      <c r="C24" s="10" t="s">
        <v>61</v>
      </c>
      <c r="D24" s="2"/>
      <c r="E24" s="3">
        <v>195.979996</v>
      </c>
      <c r="F24" s="3">
        <v>149.30000000000001</v>
      </c>
      <c r="G24" s="3">
        <v>149.30000000000001</v>
      </c>
      <c r="H24" s="3"/>
      <c r="I24" s="3">
        <v>37.488033000000001</v>
      </c>
      <c r="J24" s="3"/>
      <c r="K24" s="3">
        <v>188.82292200000001</v>
      </c>
      <c r="L24" s="3"/>
      <c r="M24" s="3">
        <v>41.170479</v>
      </c>
      <c r="N24" s="3"/>
      <c r="O24" s="3">
        <v>61.171771999999997</v>
      </c>
      <c r="P24" s="3">
        <v>90.014999000000003</v>
      </c>
      <c r="Q24" s="3">
        <v>139.5</v>
      </c>
      <c r="R24" s="3"/>
      <c r="S24" s="3">
        <v>199.75</v>
      </c>
    </row>
    <row r="25" spans="2:22" ht="15.75" x14ac:dyDescent="0.25">
      <c r="B25" s="8" t="s">
        <v>22</v>
      </c>
      <c r="C25" s="8" t="s">
        <v>62</v>
      </c>
      <c r="D25" s="2"/>
      <c r="E25" s="15">
        <v>1000</v>
      </c>
      <c r="F25" s="15">
        <v>3299</v>
      </c>
      <c r="G25" s="15">
        <v>3299</v>
      </c>
      <c r="H25" s="3"/>
      <c r="I25" s="15">
        <v>11143</v>
      </c>
      <c r="J25" s="15"/>
      <c r="K25" s="15">
        <v>43875.5625</v>
      </c>
      <c r="L25" s="15"/>
      <c r="M25" s="15">
        <v>7167.0219729999999</v>
      </c>
      <c r="N25" s="15"/>
      <c r="O25" s="15">
        <v>1000</v>
      </c>
      <c r="P25" s="15">
        <v>21825</v>
      </c>
      <c r="Q25" s="15">
        <v>6795</v>
      </c>
      <c r="R25" s="15"/>
      <c r="S25" s="15">
        <v>4895</v>
      </c>
    </row>
    <row r="26" spans="2:22" ht="15.75" x14ac:dyDescent="0.25">
      <c r="B26" s="8" t="s">
        <v>23</v>
      </c>
      <c r="C26" s="8" t="s">
        <v>63</v>
      </c>
      <c r="D26" s="2"/>
      <c r="E26" s="15">
        <v>375</v>
      </c>
      <c r="F26" s="15">
        <v>121.5</v>
      </c>
      <c r="G26" s="15">
        <v>121.5</v>
      </c>
      <c r="H26" s="3"/>
      <c r="I26" s="3">
        <v>240.47753900000001</v>
      </c>
      <c r="J26" s="3"/>
      <c r="K26" s="3">
        <v>324.89907799999997</v>
      </c>
      <c r="L26" s="3"/>
      <c r="M26" s="3">
        <v>304.12950000000001</v>
      </c>
      <c r="N26" s="3"/>
      <c r="O26" s="3">
        <v>500</v>
      </c>
      <c r="P26" s="3">
        <v>417.25</v>
      </c>
      <c r="Q26" s="3">
        <v>127.5</v>
      </c>
      <c r="R26" s="3"/>
      <c r="S26" s="3">
        <v>488.375</v>
      </c>
    </row>
    <row r="27" spans="2:22" ht="15.75" x14ac:dyDescent="0.25">
      <c r="B27" s="8" t="s">
        <v>44</v>
      </c>
      <c r="C27" s="8" t="s">
        <v>64</v>
      </c>
      <c r="D27" s="2"/>
      <c r="E27" s="3">
        <v>0.02</v>
      </c>
      <c r="F27" s="3">
        <v>4.9340000000000002E-2</v>
      </c>
      <c r="G27" s="3">
        <v>4.9340000000000002E-2</v>
      </c>
      <c r="H27" s="5"/>
      <c r="I27" s="16">
        <v>6.7948999999999996E-2</v>
      </c>
      <c r="J27" s="16"/>
      <c r="K27" s="16">
        <v>0.132136</v>
      </c>
      <c r="L27" s="16"/>
      <c r="M27" s="16">
        <v>0.12</v>
      </c>
      <c r="N27" s="16"/>
      <c r="O27" s="16">
        <v>0.121568</v>
      </c>
      <c r="P27" s="16">
        <v>0.13763</v>
      </c>
      <c r="Q27" s="16">
        <v>2.2700000000000001E-2</v>
      </c>
      <c r="R27" s="16"/>
      <c r="S27" s="16">
        <v>0.13241</v>
      </c>
    </row>
    <row r="28" spans="2:22" ht="15.75" x14ac:dyDescent="0.25">
      <c r="B28" s="8" t="s">
        <v>24</v>
      </c>
      <c r="C28" s="8" t="s">
        <v>65</v>
      </c>
      <c r="D28" s="2"/>
      <c r="E28" s="15">
        <v>1000</v>
      </c>
      <c r="F28" s="15">
        <v>1742</v>
      </c>
      <c r="G28" s="15">
        <v>1742</v>
      </c>
      <c r="H28" s="3"/>
      <c r="I28" s="15">
        <v>2475.1276859999998</v>
      </c>
      <c r="J28" s="15"/>
      <c r="K28" s="15">
        <v>2297.9184570000002</v>
      </c>
      <c r="L28" s="15"/>
      <c r="M28" s="15">
        <v>479.61807299999998</v>
      </c>
      <c r="N28" s="15"/>
      <c r="O28" s="15">
        <v>326.90692100000001</v>
      </c>
      <c r="P28" s="15">
        <v>1200.5</v>
      </c>
      <c r="Q28" s="15">
        <v>870</v>
      </c>
      <c r="R28" s="15"/>
      <c r="S28" s="15">
        <v>287</v>
      </c>
    </row>
    <row r="29" spans="2:22" ht="15.75" x14ac:dyDescent="0.25">
      <c r="B29" s="8" t="s">
        <v>25</v>
      </c>
      <c r="C29" s="8" t="s">
        <v>63</v>
      </c>
      <c r="D29" s="2"/>
      <c r="E29" s="3">
        <v>31</v>
      </c>
      <c r="F29" s="3">
        <v>47.474997999999999</v>
      </c>
      <c r="G29" s="3">
        <v>47.474997999999999</v>
      </c>
      <c r="H29" s="3"/>
      <c r="I29" s="3">
        <v>11.013498</v>
      </c>
      <c r="J29" s="3"/>
      <c r="K29" s="3">
        <v>52.537350000000004</v>
      </c>
      <c r="L29" s="3"/>
      <c r="M29" s="3">
        <v>76.360100000000003</v>
      </c>
      <c r="N29" s="3"/>
      <c r="O29" s="3">
        <v>103.76964599999999</v>
      </c>
      <c r="P29" s="3">
        <v>37.387501</v>
      </c>
      <c r="Q29" s="3">
        <v>43.125</v>
      </c>
      <c r="R29" s="3"/>
      <c r="S29" s="3">
        <v>80</v>
      </c>
    </row>
    <row r="30" spans="2:22" ht="15.75" x14ac:dyDescent="0.25">
      <c r="B30" s="8" t="s">
        <v>26</v>
      </c>
      <c r="C30" s="8" t="s">
        <v>51</v>
      </c>
      <c r="D30" s="2"/>
      <c r="E30" s="3">
        <v>4.8000000000000001E-2</v>
      </c>
      <c r="F30" s="3">
        <v>0.78519000000000005</v>
      </c>
      <c r="G30" s="3">
        <v>0.78519000000000005</v>
      </c>
      <c r="H30" s="3"/>
      <c r="I30" s="3">
        <v>0.434222</v>
      </c>
      <c r="J30" s="3"/>
      <c r="K30" s="3">
        <v>0.182142</v>
      </c>
      <c r="L30" s="3"/>
      <c r="M30" s="3">
        <v>0.16327</v>
      </c>
      <c r="N30" s="3"/>
      <c r="O30" s="3">
        <v>0.46197100000000002</v>
      </c>
      <c r="P30" s="3">
        <v>0.45010499999999998</v>
      </c>
      <c r="Q30" s="3">
        <v>0.36154999999999998</v>
      </c>
      <c r="R30" s="3"/>
      <c r="S30" s="3">
        <v>0.36154999999999998</v>
      </c>
      <c r="U30" s="1"/>
      <c r="V30" s="1"/>
    </row>
    <row r="31" spans="2:22" ht="15.75" x14ac:dyDescent="0.25">
      <c r="B31" s="11" t="s">
        <v>27</v>
      </c>
      <c r="C31" s="11" t="s">
        <v>51</v>
      </c>
      <c r="D31" s="6"/>
      <c r="E31" s="7">
        <v>0.05</v>
      </c>
      <c r="F31" s="7">
        <v>9.1450000000000004E-2</v>
      </c>
      <c r="G31" s="7">
        <v>9.1450000000000004E-2</v>
      </c>
      <c r="H31" s="7"/>
      <c r="I31" s="7">
        <v>3.4847000000000003E-2</v>
      </c>
      <c r="J31" s="7"/>
      <c r="K31" s="7">
        <v>5.7930000000000002E-2</v>
      </c>
      <c r="L31" s="7"/>
      <c r="M31" s="7">
        <v>5.4566999999999997E-2</v>
      </c>
      <c r="N31" s="7"/>
      <c r="O31" s="7">
        <v>5.4697000000000003E-2</v>
      </c>
      <c r="P31" s="7">
        <v>8.7895000000000001E-2</v>
      </c>
      <c r="Q31" s="7">
        <v>1.585E-2</v>
      </c>
      <c r="R31" s="7"/>
      <c r="S31" s="7">
        <v>5.3964999999999999E-2</v>
      </c>
    </row>
  </sheetData>
  <mergeCells count="4">
    <mergeCell ref="E1:G1"/>
    <mergeCell ref="O1:Q1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2023-03-27T11:17:46Z</dcterms:created>
  <dcterms:modified xsi:type="dcterms:W3CDTF">2023-05-15T07:29:04Z</dcterms:modified>
</cp:coreProperties>
</file>